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al Revenue" sheetId="1" state="visible" r:id="rId3"/>
    <sheet name="Regional Units Sol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<sst xmlns="http://schemas.openxmlformats.org/spreadsheetml/2006/main" count="34" uniqueCount="20">
  <si>
    <t xml:space="preserve">Northwind Retail Co. — Regional Sales Summary</t>
  </si>
  <si>
    <t xml:space="preserve">Prepared by: Finance Ops (manual monthly extract, cross-check vs. system of record)</t>
  </si>
  <si>
    <t xml:space="preserve">Period: Oct 2025 - Jun 2026</t>
  </si>
  <si>
    <t xml:space="preserve">Region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</si>
  <si>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</si>
  <si>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</si>
  <si>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</si>
  <si>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</si>
  <si>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</si>
  <si>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</si>
  <si>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</si>
  <si>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</si>
  <si>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</si>
  <si>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Total</t>
  </si>
  <si>
    <t xml:space="preserve">East</t>
  </si>
  <si>
    <t xml:space="preserve">North</t>
  </si>
  <si>
    <t xml:space="preserve">South</t>
  </si>
  <si>
    <t xml:space="preserve">West</t>
  </si>
  <si>
    <t xml:space="preserve">TOTAL</t>
  </si>
  <si>
    <t xml:space="preserve">Note: Apr 2026 company-wide revenue down vs. Mar 2026 — see AeroFit Running Shoes stockout (Vertex Apparel Co. shipment delay), also comparing against an inflated March promo baseline.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</si>
</sst>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4" t="s">
        <v>14</v>
      </c>
      <c r="B6" s="5" t="n">
        <v>176954.74</v>
      </c>
      <c r="C6" s="5" t="n">
        <v>200615.26</v>
      </c>
      <c r="D6" s="5" t="n">
        <v>228685.68</v>
      </c>
      <c r="E6" s="5" t="n">
        <v>162302.88</v>
      </c>
      <c r="F6" s="5" t="n">
        <v>128690.75</v>
      </c>
      <c r="G6" s="5" t="n">
        <v>197801.82</v>
      </c>
      <c r="H6" s="5" t="n">
        <v>147678.96</v>
      </c>
      <c r="I6" s="5" t="n">
        <v>164001.84</v>
      </c>
      <c r="J6" s="5" t="n">
        <v>168392.38</v>
      </c>
      <c r="K6" s="6" t="n">
        <f aca="false">SUM(B6:J6)</f>
        <v>1575124.31</v>
      </c>
    </row>
    <row r="7" customFormat="false" ht="15" hidden="false" customHeight="false" outlineLevel="0" collapsed="false">
      <c r="A7" s="4" t="s">
        <v>15</v>
      </c>
      <c r="B7" s="5" t="n">
        <v>175898.51</v>
      </c>
      <c r="C7" s="5" t="n">
        <v>234712.69</v>
      </c>
      <c r="D7" s="5" t="n">
        <v>257311.99</v>
      </c>
      <c r="E7" s="5" t="n">
        <v>174348.82</v>
      </c>
      <c r="F7" s="5" t="n">
        <v>148682.45</v>
      </c>
      <c r="G7" s="5" t="n">
        <v>218859.45</v>
      </c>
      <c r="H7" s="5" t="n">
        <v>160383.41</v>
      </c>
      <c r="I7" s="5" t="n">
        <v>193679.01</v>
      </c>
      <c r="J7" s="5" t="n">
        <v>188730.52</v>
      </c>
      <c r="K7" s="6" t="n">
        <f aca="false">SUM(B7:J7)</f>
        <v>1752606.85</v>
      </c>
    </row>
    <row r="8" customFormat="false" ht="15" hidden="false" customHeight="false" outlineLevel="0" collapsed="false">
      <c r="A8" s="4" t="s">
        <v>16</v>
      </c>
      <c r="B8" s="5" t="n">
        <v>152653.27</v>
      </c>
      <c r="C8" s="5" t="n">
        <v>184837.1</v>
      </c>
      <c r="D8" s="5" t="n">
        <v>212451.23</v>
      </c>
      <c r="E8" s="5" t="n">
        <v>136802.58</v>
      </c>
      <c r="F8" s="5" t="n">
        <v>106851.84</v>
      </c>
      <c r="G8" s="5" t="n">
        <v>166232.64</v>
      </c>
      <c r="H8" s="5" t="n">
        <v>115231.43</v>
      </c>
      <c r="I8" s="5" t="n">
        <v>118512.17</v>
      </c>
      <c r="J8" s="5" t="n">
        <v>116715.56</v>
      </c>
      <c r="K8" s="6" t="n">
        <f aca="false">SUM(B8:J8)</f>
        <v>1310287.82</v>
      </c>
    </row>
    <row r="9" customFormat="false" ht="15" hidden="false" customHeight="false" outlineLevel="0" collapsed="false">
      <c r="A9" s="4" t="s">
        <v>17</v>
      </c>
      <c r="B9" s="5" t="n">
        <v>376194.98</v>
      </c>
      <c r="C9" s="5" t="n">
        <v>451507.98</v>
      </c>
      <c r="D9" s="5" t="n">
        <v>490698.97</v>
      </c>
      <c r="E9" s="5" t="n">
        <v>334081.4</v>
      </c>
      <c r="F9" s="5" t="n">
        <v>265158.46</v>
      </c>
      <c r="G9" s="5" t="n">
        <v>419397.05</v>
      </c>
      <c r="H9" s="5" t="n">
        <v>300553.84</v>
      </c>
      <c r="I9" s="5" t="n">
        <v>380043.17</v>
      </c>
      <c r="J9" s="5" t="n">
        <v>364490.13</v>
      </c>
      <c r="K9" s="6" t="n">
        <f aca="false">SUM(B9:J9)</f>
        <v>3382125.98</v>
      </c>
    </row>
    <row r="10" customFormat="false" ht="15" hidden="false" customHeight="false" outlineLevel="0" collapsed="false">
      <c r="A10" s="7" t="s">
        <v>18</v>
      </c>
      <c r="B10" s="6" t="n">
        <f aca="false">SUM(B6:B9)</f>
        <v>881701.5</v>
      </c>
      <c r="C10" s="6" t="n">
        <f aca="false">SUM(C6:C9)</f>
        <v>1071673.03</v>
      </c>
      <c r="D10" s="6" t="n">
        <f aca="false">SUM(D6:D9)</f>
        <v>1189147.87</v>
      </c>
      <c r="E10" s="6" t="n">
        <f aca="false">SUM(E6:E9)</f>
        <v>807535.68</v>
      </c>
      <c r="F10" s="6" t="n">
        <f aca="false">SUM(F6:F9)</f>
        <v>649383.5</v>
      </c>
      <c r="G10" s="6" t="n">
        <f aca="false">SUM(G6:G9)</f>
        <v>1002290.96</v>
      </c>
      <c r="H10" s="6" t="n">
        <f aca="false">SUM(H6:H9)</f>
        <v>723847.64</v>
      </c>
      <c r="I10" s="6" t="n">
        <f aca="false">SUM(I6:I9)</f>
        <v>856236.19</v>
      </c>
      <c r="J10" s="6" t="n">
        <f aca="false">SUM(J6:J9)</f>
        <v>838328.59</v>
      </c>
      <c r="K10" s="6" t="n">
        <f aca="false">SUM(K6:K9)</f>
        <v>8020144.96</v>
      </c>
    </row>
    <row r="12" customFormat="false" ht="15" hidden="false" customHeight="false" outlineLevel="0" collapsed="false">
      <c r="A12" s="8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2"/>
  </cols>
  <sheetData>
    <row r="1" customFormat="false" ht="15" hidden="false" customHeight="false" outlineLevel="0" collapsed="false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</row>
    <row r="2" customFormat="false" ht="15" hidden="false" customHeight="false" outlineLevel="0" collapsed="false">
      <c r="A2" s="4" t="s">
        <v>14</v>
      </c>
      <c r="B2" s="9" t="n">
        <v>2008</v>
      </c>
      <c r="C2" s="9" t="n">
        <v>2349</v>
      </c>
      <c r="D2" s="9" t="n">
        <v>2706</v>
      </c>
      <c r="E2" s="9" t="n">
        <v>1847</v>
      </c>
      <c r="F2" s="9" t="n">
        <v>1434</v>
      </c>
      <c r="G2" s="9" t="n">
        <v>2269</v>
      </c>
      <c r="H2" s="9" t="n">
        <v>1745</v>
      </c>
      <c r="I2" s="9" t="n">
        <v>1881</v>
      </c>
      <c r="J2" s="9" t="n">
        <v>1907</v>
      </c>
    </row>
    <row r="3" customFormat="false" ht="15" hidden="false" customHeight="false" outlineLevel="0" collapsed="false">
      <c r="A3" s="4" t="s">
        <v>15</v>
      </c>
      <c r="B3" s="9" t="n">
        <v>2013</v>
      </c>
      <c r="C3" s="9" t="n">
        <v>2772</v>
      </c>
      <c r="D3" s="9" t="n">
        <v>3028</v>
      </c>
      <c r="E3" s="9" t="n">
        <v>2032</v>
      </c>
      <c r="F3" s="9" t="n">
        <v>1701</v>
      </c>
      <c r="G3" s="9" t="n">
        <v>2550</v>
      </c>
      <c r="H3" s="9" t="n">
        <v>1974</v>
      </c>
      <c r="I3" s="9" t="n">
        <v>2312</v>
      </c>
      <c r="J3" s="9" t="n">
        <v>2219</v>
      </c>
    </row>
    <row r="4" customFormat="false" ht="15" hidden="false" customHeight="false" outlineLevel="0" collapsed="false">
      <c r="A4" s="4" t="s">
        <v>16</v>
      </c>
      <c r="B4" s="9" t="n">
        <v>1786</v>
      </c>
      <c r="C4" s="9" t="n">
        <v>2148</v>
      </c>
      <c r="D4" s="9" t="n">
        <v>2488</v>
      </c>
      <c r="E4" s="9" t="n">
        <v>1585</v>
      </c>
      <c r="F4" s="9" t="n">
        <v>1214</v>
      </c>
      <c r="G4" s="9" t="n">
        <v>1878</v>
      </c>
      <c r="H4" s="9" t="n">
        <v>1431</v>
      </c>
      <c r="I4" s="9" t="n">
        <v>1435</v>
      </c>
      <c r="J4" s="9" t="n">
        <v>1424</v>
      </c>
    </row>
    <row r="5" customFormat="false" ht="15" hidden="false" customHeight="false" outlineLevel="0" collapsed="false">
      <c r="A5" s="4" t="s">
        <v>17</v>
      </c>
      <c r="B5" s="9" t="n">
        <v>4314</v>
      </c>
      <c r="C5" s="9" t="n">
        <v>5207</v>
      </c>
      <c r="D5" s="9" t="n">
        <v>5684</v>
      </c>
      <c r="E5" s="9" t="n">
        <v>3886</v>
      </c>
      <c r="F5" s="9" t="n">
        <v>3085</v>
      </c>
      <c r="G5" s="9" t="n">
        <v>4734</v>
      </c>
      <c r="H5" s="9" t="n">
        <v>3592</v>
      </c>
      <c r="I5" s="9" t="n">
        <v>4365</v>
      </c>
      <c r="J5" s="9" t="n">
        <v>4228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2026-07-06T08:00:02Z</dcterms:created>
  <dc:creator>openpyxl</dc:creator>
  <dc:description/>
  <dc:language>en-US</dc:language>
  <cp:lastModifiedBy/>
  <dcterms:modified xsi:type="dcterms:W3CDTF">2026-07-06T08:00:02Z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