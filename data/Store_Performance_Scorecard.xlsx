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 Score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<sst xmlns="http://schemas.openxmlformats.org/spreadsheetml/2006/main" count="32" uniqueCount="26">
  <si>
    <t xml:space="preserve">Northwind Retail Co. — Store Performance Scorecard (2026 YTD)</t>
  </si>
  <si>
    <t xml:space="preserve">Prepared by: Store Operations</t>
  </si>
  <si>
    <t xml:space="preserve">Store</t>
  </si>
  <si>
    <t xml:space="preserve">Region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</si>
  <si>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</si>
  <si>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</si>
  <si>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</si>
  <si>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</si>
  <si>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</si>
  <si>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</si>
  <si>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Jan-Jun Trend</t>
  </si>
  <si>
    <t xml:space="preserve">Declining Flag</t>
  </si>
  <si>
    <t xml:space="preserve">Cascade Point</t>
  </si>
  <si>
    <t xml:space="preserve">West</t>
  </si>
  <si>
    <t xml:space="preserve">Downtown Flagship</t>
  </si>
  <si>
    <t xml:space="preserve">North</t>
  </si>
  <si>
    <t xml:space="preserve">Golden Gate Market</t>
  </si>
  <si>
    <t xml:space="preserve">Harborview Center</t>
  </si>
  <si>
    <t xml:space="preserve">East</t>
  </si>
  <si>
    <t xml:space="preserve">Lakeview Mall</t>
  </si>
  <si>
    <t xml:space="preserve">Metro East Outlet</t>
  </si>
  <si>
    <t xml:space="preserve">Pacific Crossing</t>
  </si>
  <si>
    <t xml:space="preserve">Riverside Commons</t>
  </si>
  <si>
    <t xml:space="preserve">South</t>
  </si>
  <si>
    <t xml:space="preserve">Southgate Plaza</t>
  </si>
  <si>
    <t xml:space="preserve">Sunset Junction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</si>
</sst>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  <col collapsed="false" customWidth="true" hidden="false" outlineLevel="0" max="9" min="9" style="0" width="16"/>
    <col collapsed="false" customWidth="true" hidden="false" outlineLevel="0" max="10" min="10" style="0" width="3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n">
        <v>57074.13</v>
      </c>
      <c r="D5" s="5" t="n">
        <v>45492.76</v>
      </c>
      <c r="E5" s="5" t="n">
        <v>69100.39</v>
      </c>
      <c r="F5" s="5" t="n">
        <v>53063.88</v>
      </c>
      <c r="G5" s="5" t="n">
        <v>67746.46</v>
      </c>
      <c r="H5" s="5" t="n">
        <v>61265.08</v>
      </c>
      <c r="I5" s="6" t="n">
        <f aca="false">(H5-C5)/C5</f>
        <v>0.0734299410258204</v>
      </c>
      <c r="J5" s="7" t="str">
        <f aca="false">IF(I5&lt;-0.15,"DECLINING","stable")</f>
        <v>stable</v>
      </c>
    </row>
    <row r="6" customFormat="false" ht="15" hidden="false" customHeight="false" outlineLevel="0" collapsed="false">
      <c r="A6" s="4" t="s">
        <v>14</v>
      </c>
      <c r="B6" s="4" t="s">
        <v>15</v>
      </c>
      <c r="C6" s="5" t="n">
        <v>100772.41</v>
      </c>
      <c r="D6" s="5" t="n">
        <v>86612.39</v>
      </c>
      <c r="E6" s="5" t="n">
        <v>134143.81</v>
      </c>
      <c r="F6" s="5" t="n">
        <v>96700.23</v>
      </c>
      <c r="G6" s="5" t="n">
        <v>116171.88</v>
      </c>
      <c r="H6" s="5" t="n">
        <v>106400.83</v>
      </c>
      <c r="I6" s="6" t="n">
        <f aca="false">(H6-C6)/C6</f>
        <v>0.0558527874841933</v>
      </c>
      <c r="J6" s="7" t="str">
        <f aca="false">IF(I6&lt;-0.15,"DECLINING","stable")</f>
        <v>stable</v>
      </c>
    </row>
    <row r="7" customFormat="false" ht="15" hidden="false" customHeight="false" outlineLevel="0" collapsed="false">
      <c r="A7" s="4" t="s">
        <v>16</v>
      </c>
      <c r="B7" s="4" t="s">
        <v>13</v>
      </c>
      <c r="C7" s="5" t="n">
        <v>89795.7</v>
      </c>
      <c r="D7" s="5" t="n">
        <v>67543.75</v>
      </c>
      <c r="E7" s="5" t="n">
        <v>93349.44</v>
      </c>
      <c r="F7" s="5" t="n">
        <v>67473.64</v>
      </c>
      <c r="G7" s="5" t="n">
        <v>90242.33</v>
      </c>
      <c r="H7" s="5" t="n">
        <v>80222.48</v>
      </c>
      <c r="I7" s="6" t="n">
        <f aca="false">(H7-C7)/C7</f>
        <v>-0.106611118349765</v>
      </c>
      <c r="J7" s="7" t="str">
        <f aca="false">IF(I7&lt;-0.15,"DECLINING","stable")</f>
        <v>stable</v>
      </c>
    </row>
    <row r="8" customFormat="false" ht="15" hidden="false" customHeight="false" outlineLevel="0" collapsed="false">
      <c r="A8" s="4" t="s">
        <v>17</v>
      </c>
      <c r="B8" s="4" t="s">
        <v>18</v>
      </c>
      <c r="C8" s="5" t="n">
        <v>104515.15</v>
      </c>
      <c r="D8" s="5" t="n">
        <v>85747.33</v>
      </c>
      <c r="E8" s="5" t="n">
        <v>134304.87</v>
      </c>
      <c r="F8" s="5" t="n">
        <v>92003.89</v>
      </c>
      <c r="G8" s="5" t="n">
        <v>100923.21</v>
      </c>
      <c r="H8" s="5" t="n">
        <v>106534.74</v>
      </c>
      <c r="I8" s="6" t="n">
        <f aca="false">(H8-C8)/C8</f>
        <v>0.0193234186622706</v>
      </c>
      <c r="J8" s="7" t="str">
        <f aca="false">IF(I8&lt;-0.15,"DECLINING","stable")</f>
        <v>stable</v>
      </c>
    </row>
    <row r="9" customFormat="false" ht="15" hidden="false" customHeight="false" outlineLevel="0" collapsed="false">
      <c r="A9" s="4" t="s">
        <v>19</v>
      </c>
      <c r="B9" s="4" t="s">
        <v>15</v>
      </c>
      <c r="C9" s="5" t="n">
        <v>73576.41</v>
      </c>
      <c r="D9" s="5" t="n">
        <v>62070.06</v>
      </c>
      <c r="E9" s="5" t="n">
        <v>84715.64</v>
      </c>
      <c r="F9" s="5" t="n">
        <v>63683.18</v>
      </c>
      <c r="G9" s="5" t="n">
        <v>77507.13</v>
      </c>
      <c r="H9" s="5" t="n">
        <v>82329.69</v>
      </c>
      <c r="I9" s="6" t="n">
        <f aca="false">(H9-C9)/C9</f>
        <v>0.118968566147764</v>
      </c>
      <c r="J9" s="7" t="str">
        <f aca="false">IF(I9&lt;-0.15,"DECLINING","stable")</f>
        <v>stable</v>
      </c>
    </row>
    <row r="10" customFormat="false" ht="15" hidden="false" customHeight="false" outlineLevel="0" collapsed="false">
      <c r="A10" s="4" t="s">
        <v>20</v>
      </c>
      <c r="B10" s="4" t="s">
        <v>18</v>
      </c>
      <c r="C10" s="5" t="n">
        <v>57787.73</v>
      </c>
      <c r="D10" s="5" t="n">
        <v>42943.42</v>
      </c>
      <c r="E10" s="5" t="n">
        <v>63496.95</v>
      </c>
      <c r="F10" s="5" t="n">
        <v>55675.07</v>
      </c>
      <c r="G10" s="5" t="n">
        <v>63078.63</v>
      </c>
      <c r="H10" s="5" t="n">
        <v>61857.64</v>
      </c>
      <c r="I10" s="6" t="n">
        <f aca="false">(H10-C10)/C10</f>
        <v>0.0704286186704339</v>
      </c>
      <c r="J10" s="7" t="str">
        <f aca="false">IF(I10&lt;-0.15,"DECLINING","stable")</f>
        <v>stable</v>
      </c>
    </row>
    <row r="11" customFormat="false" ht="15" hidden="false" customHeight="false" outlineLevel="0" collapsed="false">
      <c r="A11" s="4" t="s">
        <v>21</v>
      </c>
      <c r="B11" s="4" t="s">
        <v>13</v>
      </c>
      <c r="C11" s="5" t="n">
        <v>82969.58</v>
      </c>
      <c r="D11" s="5" t="n">
        <v>63599.89</v>
      </c>
      <c r="E11" s="5" t="n">
        <v>110242.59</v>
      </c>
      <c r="F11" s="5" t="n">
        <v>81079.61</v>
      </c>
      <c r="G11" s="5" t="n">
        <v>101025.1</v>
      </c>
      <c r="H11" s="5" t="n">
        <v>93105.22</v>
      </c>
      <c r="I11" s="6" t="n">
        <f aca="false">(H11-C11)/C11</f>
        <v>0.122160917290409</v>
      </c>
      <c r="J11" s="7" t="str">
        <f aca="false">IF(I11&lt;-0.15,"DECLINING","stable")</f>
        <v>stable</v>
      </c>
    </row>
    <row r="12" customFormat="false" ht="15" hidden="false" customHeight="false" outlineLevel="0" collapsed="false">
      <c r="A12" s="4" t="s">
        <v>22</v>
      </c>
      <c r="B12" s="4" t="s">
        <v>23</v>
      </c>
      <c r="C12" s="5" t="n">
        <v>69578.13</v>
      </c>
      <c r="D12" s="5" t="n">
        <v>55615.29</v>
      </c>
      <c r="E12" s="5" t="n">
        <v>84066.39</v>
      </c>
      <c r="F12" s="5" t="n">
        <v>53427.23</v>
      </c>
      <c r="G12" s="5" t="n">
        <v>47940.31</v>
      </c>
      <c r="H12" s="5" t="n">
        <v>49193.89</v>
      </c>
      <c r="I12" s="6" t="n">
        <f aca="false">(H12-C12)/C12</f>
        <v>-0.292969069447541</v>
      </c>
      <c r="J12" s="7" t="str">
        <f aca="false">IF(I12&lt;-0.15,"DECLINING","stable")</f>
        <v>DECLINING</v>
      </c>
    </row>
    <row r="13" customFormat="false" ht="15" hidden="false" customHeight="false" outlineLevel="0" collapsed="false">
      <c r="A13" s="4" t="s">
        <v>24</v>
      </c>
      <c r="B13" s="4" t="s">
        <v>23</v>
      </c>
      <c r="C13" s="5" t="n">
        <v>67224.45</v>
      </c>
      <c r="D13" s="5" t="n">
        <v>51236.55</v>
      </c>
      <c r="E13" s="5" t="n">
        <v>82166.25</v>
      </c>
      <c r="F13" s="5" t="n">
        <v>61804.2</v>
      </c>
      <c r="G13" s="5" t="n">
        <v>70571.86</v>
      </c>
      <c r="H13" s="5" t="n">
        <v>67521.67</v>
      </c>
      <c r="I13" s="6" t="n">
        <f aca="false">(H13-C13)/C13</f>
        <v>0.00442130802111436</v>
      </c>
      <c r="J13" s="7" t="str">
        <f aca="false">IF(I13&lt;-0.15,"DECLINING","stable")</f>
        <v>stable</v>
      </c>
    </row>
    <row r="14" customFormat="false" ht="15" hidden="false" customHeight="false" outlineLevel="0" collapsed="false">
      <c r="A14" s="4" t="s">
        <v>25</v>
      </c>
      <c r="B14" s="4" t="s">
        <v>13</v>
      </c>
      <c r="C14" s="5" t="n">
        <v>104241.99</v>
      </c>
      <c r="D14" s="5" t="n">
        <v>88522.06</v>
      </c>
      <c r="E14" s="5" t="n">
        <v>146704.63</v>
      </c>
      <c r="F14" s="5" t="n">
        <v>98936.71</v>
      </c>
      <c r="G14" s="5" t="n">
        <v>121029.28</v>
      </c>
      <c r="H14" s="5" t="n">
        <v>129897.35</v>
      </c>
      <c r="I14" s="6" t="n">
        <f aca="false">(H14-C14)/C14</f>
        <v>0.246113490350673</v>
      </c>
      <c r="J14" s="7" t="str">
        <f aca="false">IF(I14&lt;-0.15,"DECLINING","stable")</f>
        <v>stable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2026-07-06T08:00:02Z</dcterms:created>
  <dc:creator>openpyxl</dc:creator>
  <dc:description/>
  <dc:language>en-US</dc:language>
  <cp:lastModifiedBy/>
  <dcterms:modified xsi:type="dcterms:W3CDTF">2026-07-06T08:00:02Z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